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e sheet excel\"/>
    </mc:Choice>
  </mc:AlternateContent>
  <xr:revisionPtr revIDLastSave="0" documentId="13_ncr:1_{FE4E70D2-54F0-43A8-A407-540E8E4D32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">Patient_Data!$K$2:$K$41</definedName>
    <definedName name="department">Patient_Data!$E$2:$E$41</definedName>
    <definedName name="insurance">Patient_Data!$J$2:$J$41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6" i="1" l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I62" i="1"/>
  <c r="I61" i="1"/>
  <c r="I66" i="1"/>
  <c r="I65" i="1"/>
  <c r="I64" i="1"/>
  <c r="I63" i="1"/>
  <c r="I60" i="1"/>
  <c r="I59" i="1"/>
  <c r="I58" i="1"/>
  <c r="I57" i="1"/>
  <c r="I54" i="1"/>
  <c r="I56" i="1"/>
  <c r="I55" i="1"/>
  <c r="I53" i="1"/>
  <c r="I52" i="1"/>
  <c r="I51" i="1"/>
  <c r="I50" i="1"/>
  <c r="I49" i="1"/>
  <c r="I48" i="1"/>
  <c r="I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<sst xmlns="http://schemas.openxmlformats.org/spreadsheetml/2006/main" count="468" uniqueCount="234">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</sst>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D43" zoomScale="138" zoomScaleNormal="69" workbookViewId="0">
      <selection activeCell="J67" sqref="J67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I47">
        <f>SUM(Bill)</f>
        <v>1019500</v>
      </c>
      <c r="J47">
        <f>SUM(Bill)</f>
        <v>1019500</v>
      </c>
    </row>
    <row r="48" spans="1:22">
      <c r="E48" t="s">
        <v>224</v>
      </c>
      <c r="I48">
        <f>SUMIF(department,E6,Bill)</f>
        <v>179000</v>
      </c>
      <c r="J48">
        <f>SUMIF(department,E39,Bill)</f>
        <v>179000</v>
      </c>
    </row>
    <row r="49" spans="5:10">
      <c r="E49" t="s">
        <v>138</v>
      </c>
      <c r="I49">
        <f>COUNTIF(department,E40)</f>
        <v>7</v>
      </c>
      <c r="J49">
        <f>COUNTIF(department,E40)</f>
        <v>7</v>
      </c>
    </row>
    <row r="50" spans="5:10">
      <c r="E50" t="s">
        <v>139</v>
      </c>
      <c r="I50">
        <f>AVERAGEIF(department,E39,Bill)</f>
        <v>25571.428571428572</v>
      </c>
      <c r="J50">
        <f>AVERAGEIF(department,E39,Bill)</f>
        <v>25571.428571428572</v>
      </c>
    </row>
    <row r="51" spans="5:10">
      <c r="E51" t="s">
        <v>124</v>
      </c>
      <c r="I51">
        <f>SUMIF(J2:J41,J3,Bill)</f>
        <v>499500</v>
      </c>
      <c r="J51">
        <f>SUMIF(insurance,J40,Bill)</f>
        <v>499500</v>
      </c>
    </row>
    <row r="52" spans="5:10">
      <c r="E52" t="s">
        <v>125</v>
      </c>
      <c r="I52">
        <f>COUNTIF(L2:L41,L13)</f>
        <v>10</v>
      </c>
      <c r="J52">
        <f>COUNTIF(L2:L41,L20)</f>
        <v>10</v>
      </c>
    </row>
    <row r="53" spans="5:10">
      <c r="E53" t="s">
        <v>126</v>
      </c>
      <c r="I53">
        <f>SUMIF(L2:L41,L13,Bill)</f>
        <v>344500</v>
      </c>
      <c r="J53">
        <f>SUMIF(L2:L41,L20,Bill)</f>
        <v>344500</v>
      </c>
    </row>
    <row r="54" spans="5:10">
      <c r="E54" t="s">
        <v>127</v>
      </c>
      <c r="I54">
        <f>SUMIFS(Bill,department,E41,insurance,J40)</f>
        <v>275500</v>
      </c>
      <c r="J54">
        <f>SUMIFS(Bill,department,E41,insurance,J40)</f>
        <v>275500</v>
      </c>
    </row>
    <row r="55" spans="5:10">
      <c r="E55" t="s">
        <v>128</v>
      </c>
      <c r="I55">
        <f>COUNTIFS(department,E41,L2:L41,L8)</f>
        <v>4</v>
      </c>
      <c r="J55">
        <f>COUNTIFS(department,E41,L2:L41,L16)</f>
        <v>4</v>
      </c>
    </row>
    <row r="56" spans="5:10">
      <c r="E56" t="s">
        <v>129</v>
      </c>
      <c r="I56">
        <f>AVERAGEIF(J2:J41,J12,Bill)</f>
        <v>25766.666666666668</v>
      </c>
      <c r="J56">
        <f>AVERAGEIF(insurance,J41,Bill)</f>
        <v>25766.666666666668</v>
      </c>
    </row>
    <row r="57" spans="5:10">
      <c r="E57" t="s">
        <v>130</v>
      </c>
      <c r="I57">
        <f>COUNTIF(Bill,"&gt;40000")</f>
        <v>9</v>
      </c>
      <c r="J57">
        <f>COUNTIF(Bill,"&gt;40000")</f>
        <v>9</v>
      </c>
    </row>
    <row r="58" spans="5:10">
      <c r="E58" t="s">
        <v>131</v>
      </c>
      <c r="I58">
        <f>SUMIF(Bill,"&gt;40000")</f>
        <v>508000</v>
      </c>
      <c r="J58">
        <f>SUMIF(Bill,"&gt;40000")</f>
        <v>508000</v>
      </c>
    </row>
    <row r="59" spans="5:10">
      <c r="E59" t="s">
        <v>132</v>
      </c>
      <c r="I59">
        <f>COUNTIF(M2:M41,"&gt;5")</f>
        <v>11</v>
      </c>
      <c r="J59">
        <f>COUNTIF(M2:M41,"&gt;5")</f>
        <v>11</v>
      </c>
    </row>
    <row r="60" spans="5:10">
      <c r="E60" t="s">
        <v>133</v>
      </c>
      <c r="I60">
        <f>SUMIF(M2:M41,"&gt;5",Bill)</f>
        <v>582000</v>
      </c>
      <c r="J60">
        <f>SUMIF(M2:M41,"&gt;5",Bill)</f>
        <v>582000</v>
      </c>
    </row>
    <row r="61" spans="5:10">
      <c r="E61" t="s">
        <v>134</v>
      </c>
      <c r="I61">
        <f>SUMIFS(Bill,department,E41,M2:M41,"&gt;5")</f>
        <v>320000</v>
      </c>
      <c r="J61">
        <f>SUMIFS(Bill,department,E41,M2:M41,"&gt;5")</f>
        <v>320000</v>
      </c>
    </row>
    <row r="62" spans="5:10">
      <c r="E62" t="s">
        <v>135</v>
      </c>
      <c r="I62">
        <f>AVERAGEIF(L2:L41,L25,M2:M41)</f>
        <v>5.8</v>
      </c>
      <c r="J62">
        <f>AVERAGEIF(L2:L41,L5,M2:M41)</f>
        <v>5.8</v>
      </c>
    </row>
    <row r="63" spans="5:10">
      <c r="E63" t="s">
        <v>136</v>
      </c>
      <c r="I63">
        <f>_xlfn.MAXIFS(Bill,department,E41)</f>
        <v>76000</v>
      </c>
      <c r="J63">
        <f>_xlfn.MAXIFS(Bill,department,E41)</f>
        <v>76000</v>
      </c>
    </row>
    <row r="64" spans="5:10">
      <c r="E64" t="s">
        <v>137</v>
      </c>
      <c r="I64">
        <f>_xlfn.MINIFS(Bill,department,E34)</f>
        <v>12500</v>
      </c>
      <c r="J64">
        <f>_xlfn.MINIFS(Bill,department,E38)</f>
        <v>12500</v>
      </c>
    </row>
    <row r="65" spans="5:10">
      <c r="E65" t="s">
        <v>140</v>
      </c>
      <c r="I65">
        <f>COUNTIFS(department,E41,L2:L41,L25)</f>
        <v>4</v>
      </c>
      <c r="J65">
        <f>COUNTIFS(department,E41,L2:L41,L20)</f>
        <v>4</v>
      </c>
    </row>
    <row r="66" spans="5:10">
      <c r="E66" t="s">
        <v>141</v>
      </c>
      <c r="I66">
        <f>AVERAGEIFS(Bill,department,E41,insurance,J40)</f>
        <v>55100</v>
      </c>
      <c r="J66">
        <f>AVERAGEIFS(Bill,department,E41,insurance,J40)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Patient_Data</vt:lpstr>
      <vt:lpstr>Questions</vt:lpstr>
      <vt:lpstr>Answers</vt:lpstr>
      <vt:lpstr>Bill</vt:lpstr>
      <vt:lpstr>department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 Johnson</cp:lastModifiedBy>
  <dcterms:created xsi:type="dcterms:W3CDTF">2026-09-09T05:55:57Z</dcterms:created>
  <dcterms:modified xsi:type="dcterms:W3CDTF">2026-10-29T14:34:06Z</dcterms:modified>
</cp:coreProperties>
</file>